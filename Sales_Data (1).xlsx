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y projects\p3\Dashboard\"/>
    </mc:Choice>
  </mc:AlternateContent>
  <xr:revisionPtr revIDLastSave="0" documentId="13_ncr:1_{BDF5BA2E-C937-4C06-A2A2-F1408B6C8996}" xr6:coauthVersionLast="47" xr6:coauthVersionMax="47" xr10:uidLastSave="{00000000-0000-0000-0000-000000000000}"/>
  <bookViews>
    <workbookView xWindow="-108" yWindow="-108" windowWidth="23256" windowHeight="12456" activeTab="6" xr2:uid="{DD849986-FD75-4B59-A218-BB009B531E8C}"/>
  </bookViews>
  <sheets>
    <sheet name="p1" sheetId="3" r:id="rId1"/>
    <sheet name="p2" sheetId="4" r:id="rId2"/>
    <sheet name="Sheet6" sheetId="6" r:id="rId3"/>
    <sheet name="p3" sheetId="5" r:id="rId4"/>
    <sheet name="Sales data " sheetId="1" r:id="rId5"/>
    <sheet name="Dashboard " sheetId="7" r:id="rId6"/>
    <sheet name="Business Insight" sheetId="8" r:id="rId7"/>
  </sheets>
  <definedNames>
    <definedName name="_xlcn.WorksheetConnection_Sales_Data1.xlsxTable31" hidden="1">Table3[]</definedName>
    <definedName name="_xlcn.WorksheetConnection_SalesdataAJ1" hidden="1">'Sales data '!$A:$J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 !$A:$J"/>
          <x15:modelTable id="Table3" name="Table3" connection="WorksheetConnection_Sales_Data (1)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" l="1"/>
  <c r="G5" i="7"/>
  <c r="I5" i="7"/>
  <c r="K5" i="7"/>
  <c r="M5" i="7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E7A3B3-B783-4C71-B971-51D10DE9C4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B0A7B1-EB57-4B20-ACA8-81E178B235C1}" name="WorksheetConnection_Sales data !$A:$J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J1"/>
        </x15:connection>
      </ext>
    </extLst>
  </connection>
  <connection id="3" xr16:uid="{681BB57E-2189-4DB2-8F1D-1123D5820906}" name="WorksheetConnection_Sales_Data (1)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ales_Data1.xlsxTable31"/>
        </x15:connection>
      </ext>
    </extLst>
  </connection>
</connections>
</file>

<file path=xl/sharedStrings.xml><?xml version="1.0" encoding="utf-8"?>
<sst xmlns="http://schemas.openxmlformats.org/spreadsheetml/2006/main" count="161" uniqueCount="76">
  <si>
    <t>Order ID</t>
  </si>
  <si>
    <t>Date</t>
  </si>
  <si>
    <t>Region</t>
  </si>
  <si>
    <t>Category</t>
  </si>
  <si>
    <t>Product</t>
  </si>
  <si>
    <t>Sales</t>
  </si>
  <si>
    <t>Profit</t>
  </si>
  <si>
    <t>Quantity</t>
  </si>
  <si>
    <t>West</t>
  </si>
  <si>
    <t>Electronics</t>
  </si>
  <si>
    <t>Laptop</t>
  </si>
  <si>
    <t>North</t>
  </si>
  <si>
    <t>Furniture</t>
  </si>
  <si>
    <t>Chair</t>
  </si>
  <si>
    <t>South</t>
  </si>
  <si>
    <t>Clothing</t>
  </si>
  <si>
    <t>T-Shirt</t>
  </si>
  <si>
    <t>East</t>
  </si>
  <si>
    <t>Mobile</t>
  </si>
  <si>
    <t>Table</t>
  </si>
  <si>
    <t>Headphones</t>
  </si>
  <si>
    <t>Jeans</t>
  </si>
  <si>
    <t>TV</t>
  </si>
  <si>
    <t>Sofa</t>
  </si>
  <si>
    <t>Jacket</t>
  </si>
  <si>
    <t>Smart Watch</t>
  </si>
  <si>
    <t>Bed</t>
  </si>
  <si>
    <t>Shirt</t>
  </si>
  <si>
    <t>Printer</t>
  </si>
  <si>
    <t>Cupboard</t>
  </si>
  <si>
    <t>Saree</t>
  </si>
  <si>
    <t>Camera</t>
  </si>
  <si>
    <t>Desk</t>
  </si>
  <si>
    <t>Hoodie</t>
  </si>
  <si>
    <t>Speaker</t>
  </si>
  <si>
    <t>Dining Table</t>
  </si>
  <si>
    <t>Shoes</t>
  </si>
  <si>
    <t>Tablet</t>
  </si>
  <si>
    <t>Wardrobe</t>
  </si>
  <si>
    <t>Kurta</t>
  </si>
  <si>
    <t>Monitor</t>
  </si>
  <si>
    <t>Shelf</t>
  </si>
  <si>
    <t>Blazer</t>
  </si>
  <si>
    <t>Keyboard</t>
  </si>
  <si>
    <t>Recliner</t>
  </si>
  <si>
    <t>Cap</t>
  </si>
  <si>
    <t>Router</t>
  </si>
  <si>
    <t>Stool</t>
  </si>
  <si>
    <t>Tracksuit</t>
  </si>
  <si>
    <t>Hard Disk</t>
  </si>
  <si>
    <t>TV Unit</t>
  </si>
  <si>
    <t>Socks</t>
  </si>
  <si>
    <t>Mouse</t>
  </si>
  <si>
    <t>Bean Bag</t>
  </si>
  <si>
    <t>Sweater</t>
  </si>
  <si>
    <t xml:space="preserve">Sales Per unit </t>
  </si>
  <si>
    <t>profit %</t>
  </si>
  <si>
    <t xml:space="preserve">Total Sales </t>
  </si>
  <si>
    <t xml:space="preserve">Total Profit </t>
  </si>
  <si>
    <t>Total Quantity</t>
  </si>
  <si>
    <t xml:space="preserve">Average Sales </t>
  </si>
  <si>
    <t xml:space="preserve">Total Orders </t>
  </si>
  <si>
    <t>Sum of Sales</t>
  </si>
  <si>
    <t>Row Labels</t>
  </si>
  <si>
    <t>Grand Total</t>
  </si>
  <si>
    <t>Sum of Profit</t>
  </si>
  <si>
    <t>Month</t>
  </si>
  <si>
    <t>Feb</t>
  </si>
  <si>
    <t>Jan</t>
  </si>
  <si>
    <t>Sales Data Report</t>
  </si>
  <si>
    <t>Business Insights</t>
  </si>
  <si>
    <t>Identified East region as the highest revenue contributor (₹181K+ sales).</t>
  </si>
  <si>
    <t>Discovered Electronics category generated the highest profit (₹45.6K).</t>
  </si>
  <si>
    <t>Analyzed product-level performance and identified top-selling products.</t>
  </si>
  <si>
    <t>Calculated KPIs including Total Sales (₹504K), Profit (₹97K), and Profit Margin (19.3%).</t>
  </si>
  <si>
    <t>Provided data-driven recommendations for sales growth and inventory optimization.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</si>
</sst>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horizontal="center" vertical="center" wrapText="1"/>
    </xf>
    <xf numFmtId="10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pivotButton="1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0" formatCode="General"/>
      <alignment horizontal="general" vertical="center" textRotation="0" wrapText="1" indent="0" justifyLastLine="0" shrinkToFit="0" readingOrder="0"/>
    </dxf>
    <dxf>
      <numFmt numFmtId="14" formatCode="0.00%"/>
    </dxf>
    <dxf>
      <numFmt numFmtId="164" formatCode="&quot;₹&quot;\ #,##0.00"/>
    </dxf>
    <dxf>
      <numFmt numFmtId="2" formatCode="0.00"/>
      <alignment horizontal="general" vertical="center" textRotation="0" wrapText="1" indent="0" justifyLastLine="0" shrinkToFit="0" readingOrder="0"/>
    </dxf>
    <dxf>
      <numFmt numFmtId="164" formatCode="&quot;₹&quot;\ #,##0.00"/>
      <alignment horizontal="general" vertical="center" textRotation="0" wrapText="1" indent="0" justifyLastLine="0" shrinkToFit="0" readingOrder="0"/>
    </dxf>
    <dxf>
      <numFmt numFmtId="164" formatCode="&quot;₹&quot;\ 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(1).xlsx]p1!PivotTable1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'p1'!$B$3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'p1'!$A$4:$A$8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'p1'!$B$4:$B$8</c:f>
              <c:numCache>
                <c:formatCode>General</c:formatCode>
                <c:ptCount val="4"/>
                <c:pt idx="0">
                  <c:v>181300</c:v>
                </c:pt>
                <c:pt idx="1">
                  <c:v>86200</c:v>
                </c:pt>
                <c:pt idx="2">
                  <c:v>82200</c:v>
                </c:pt>
                <c:pt idx="3">
                  <c:v>154400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F-4711-AFE2-C28F86F5E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87411440"/>
        <c:axId val="287412400"/>
      </c:barChart>
      <c:catAx>
        <c:axId val="28741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12400"/>
        <c:crosses val="autoZero"/>
        <c:auto val="1"/>
        <c:lblAlgn val="ctr"/>
        <c:lblOffset val="100"/>
        <c:noMultiLvlLbl val="0"/>
      </c:catAx>
      <c:valAx>
        <c:axId val="287412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Amount	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1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(1).xlsx]p2!PivotTable2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8-4454-B1C7-4671201B80D6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8-4454-B1C7-4671201B80D6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8-4454-B1C7-4671201B80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'p2'!$A$4:$A$7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'p2'!$B$4:$B$7</c:f>
              <c:numCache>
                <c:formatCode>General</c:formatCode>
                <c:ptCount val="3"/>
                <c:pt idx="0">
                  <c:v>9440</c:v>
                </c:pt>
                <c:pt idx="1">
                  <c:v>45600</c:v>
                </c:pt>
                <c:pt idx="2">
                  <c:v>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8-4454-B1C7-4671201B80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(1).xlsx]Sheet6!PivotTable4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7A-495F-80BB-2F75F44CE919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7A-495F-80BB-2F75F44CE91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Sheet6!$A$4:$A$6</c:f>
              <c:strCache>
                <c:ptCount val="2"/>
                <c:pt idx="0">
                  <c:v>Feb</c:v>
                </c:pt>
                <c:pt idx="1">
                  <c:v>Jan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504100</c:v>
                </c:pt>
                <c:pt idx="1">
                  <c:v>504100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A-495F-80BB-2F75F44CE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(1).xlsx]Sheet6!PivotTable4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51-4299-9782-C3BCB793D84A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51-4299-9782-C3BCB793D84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Sheet6!$A$4:$A$6</c:f>
              <c:strCache>
                <c:ptCount val="2"/>
                <c:pt idx="0">
                  <c:v>Feb</c:v>
                </c:pt>
                <c:pt idx="1">
                  <c:v>Jan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504100</c:v>
                </c:pt>
                <c:pt idx="1">
                  <c:v>504100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51-4299-9782-C3BCB793D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9</xdr:col>
      <xdr:colOff>198120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7C6EF-E744-4451-A73D-3CADDCAA2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5</xdr:row>
      <xdr:rowOff>7620</xdr:rowOff>
    </xdr:from>
    <xdr:to>
      <xdr:col>19</xdr:col>
      <xdr:colOff>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150219-F90F-4CF4-AE8E-D1913B5A6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76200</xdr:rowOff>
    </xdr:from>
    <xdr:to>
      <xdr:col>9</xdr:col>
      <xdr:colOff>129540</xdr:colOff>
      <xdr:row>38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687798-959A-4515-8447-428914B62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99060</xdr:colOff>
      <xdr:row>21</xdr:row>
      <xdr:rowOff>76200</xdr:rowOff>
    </xdr:from>
    <xdr:to>
      <xdr:col>18</xdr:col>
      <xdr:colOff>594360</xdr:colOff>
      <xdr:row>38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F3E0D6-4B19-4831-ABFC-729D376AA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9.03933796296" createdVersion="8" refreshedVersion="8" minRefreshableVersion="3" recordCount="41" xr:uid="{02CD111B-BEE4-4BE3-AB56-706E6D167CB9}">
  <cacheSource type="worksheet">
    <worksheetSource ref="A1:J1048576" sheet="Sales data "/>
  </cacheSource>
  <cacheFields count="10">
    <cacheField name="Order ID" numFmtId="2">
      <sharedItems containsString="0" containsBlank="1" containsNumber="1" containsInteger="1" minValue="1001" maxValue="1040"/>
    </cacheField>
    <cacheField name="Date" numFmtId="14">
      <sharedItems containsNonDate="0" containsDate="1" containsString="0" containsBlank="1" minDate="2025-01-01T00:00:00" maxDate="2025-02-10T00:00:00" count="4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m/>
      </sharedItems>
    </cacheField>
    <cacheField name="Region" numFmtId="0">
      <sharedItems containsBlank="1" count="5">
        <s v="West"/>
        <s v="North"/>
        <s v="South"/>
        <s v="East"/>
        <m/>
      </sharedItems>
    </cacheField>
    <cacheField name="Category" numFmtId="0">
      <sharedItems containsBlank="1" count="4">
        <s v="Electronics"/>
        <s v="Furniture"/>
        <s v="Clothing"/>
        <m/>
      </sharedItems>
    </cacheField>
    <cacheField name="Product" numFmtId="0">
      <sharedItems containsBlank="1"/>
    </cacheField>
    <cacheField name="Sales" numFmtId="164">
      <sharedItems containsString="0" containsBlank="1" containsNumber="1" containsInteger="1" minValue="900" maxValue="55000"/>
    </cacheField>
    <cacheField name="Profit" numFmtId="164">
      <sharedItems containsString="0" containsBlank="1" containsNumber="1" containsInteger="1" minValue="180" maxValue="9000"/>
    </cacheField>
    <cacheField name="Quantity" numFmtId="0">
      <sharedItems containsString="0" containsBlank="1" containsNumber="1" containsInteger="1" minValue="1" maxValue="12"/>
    </cacheField>
    <cacheField name="Sales Per unit " numFmtId="164">
      <sharedItems containsString="0" containsBlank="1" containsNumber="1" minValue="75" maxValue="45000"/>
    </cacheField>
    <cacheField name="profit %" numFmtId="10">
      <sharedItems containsString="0" containsBlank="1" containsNumber="1" minValue="0.14545454545454545" maxValue="0.214285714285714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9.043883333332" backgroundQuery="1" createdVersion="8" refreshedVersion="8" minRefreshableVersion="3" recordCount="0" supportSubquery="1" supportAdvancedDrill="1" xr:uid="{DEF756FC-39B9-4DC7-ADF1-C011E520E36E}">
  <cacheSource type="external" connectionId="1"/>
  <cacheFields count="2">
    <cacheField name="[Table3].[Month].[Month]" caption="Month" numFmtId="0" hierarchy="20" level="1">
      <sharedItems count="2">
        <s v="Feb"/>
        <s v="Jan"/>
      </sharedItems>
    </cacheField>
    <cacheField name="[Measures].[Sum of Sales]" caption="Sum of Sales" numFmtId="0" hierarchy="24" level="32767"/>
  </cacheFields>
  <cacheHierarchies count="25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s Per unit]" caption="Sales Per unit" attribute="1" defaultMemberUniqueName="[Range].[Sales Per unit].[All]" allUniqueName="[Range].[Sales Per unit].[All]" dimensionUniqueName="[Range]" displayFolder="" count="0" memberValueDatatype="5" unbalanced="0"/>
    <cacheHierarchy uniqueName="[Range].[profit %]" caption="profit %" attribute="1" defaultMemberUniqueName="[Range].[profit %].[All]" allUniqueName="[Range].[profit %].[All]" dimensionUniqueName="[Range]" displayFolder="" count="0" memberValueDatatype="5" unbalanced="0"/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Date]" caption="Date" attribute="1" time="1" defaultMemberUniqueName="[Table3].[Date].[All]" allUniqueName="[Table3].[Date].[All]" dimensionUniqueName="[Table3]" displayFolder="" count="0" memberValueDatatype="7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Category]" caption="Category" attribute="1" defaultMemberUniqueName="[Table3].[Category].[All]" allUniqueName="[Table3].[Category].[All]" dimensionUniqueName="[Table3]" displayFolder="" count="0" memberValueDatatype="130" unbalanced="0"/>
    <cacheHierarchy uniqueName="[Table3].[Product]" caption="Product" attribute="1" defaultMemberUniqueName="[Table3].[Product].[All]" allUniqueName="[Table3].[Product].[All]" dimensionUniqueName="[Table3]" displayFolder="" count="0" memberValueDatatype="130" unbalanced="0"/>
    <cacheHierarchy uniqueName="[Table3].[Sales]" caption="Sales" attribute="1" defaultMemberUniqueName="[Table3].[Sales].[All]" allUniqueName="[Table3].[Sales].[All]" dimensionUniqueName="[Table3]" displayFolder="" count="0" memberValueDatatype="20" unbalanced="0"/>
    <cacheHierarchy uniqueName="[Table3].[Profit]" caption="Profit" attribute="1" defaultMemberUniqueName="[Table3].[Profit].[All]" allUniqueName="[Table3].[Profit].[All]" dimensionUniqueName="[Table3]" displayFolder="" count="0" memberValueDatatype="20" unbalanced="0"/>
    <cacheHierarchy uniqueName="[Table3].[Quantity]" caption="Quantity" attribute="1" defaultMemberUniqueName="[Table3].[Quantity].[All]" allUniqueName="[Table3].[Quantity].[All]" dimensionUniqueName="[Table3]" displayFolder="" count="0" memberValueDatatype="20" unbalanced="0"/>
    <cacheHierarchy uniqueName="[Table3].[Sales Per unit]" caption="Sales Per unit" attribute="1" defaultMemberUniqueName="[Table3].[Sales Per unit].[All]" allUniqueName="[Table3].[Sales Per unit].[All]" dimensionUniqueName="[Table3]" displayFolder="" count="0" memberValueDatatype="5" unbalanced="0"/>
    <cacheHierarchy uniqueName="[Table3].[profit %]" caption="profit %" attribute="1" defaultMemberUniqueName="[Table3].[profit %].[All]" allUniqueName="[Table3].[profit %].[All]" dimensionUniqueName="[Table3]" displayFolder="" count="0" memberValueDatatype="5" unbalanced="0"/>
    <cacheHierarchy uniqueName="[Table3].[Month]" caption="Month" attribute="1" defaultMemberUniqueName="[Table3].[Month].[All]" allUniqueName="[Table3].[Month].[All]" dimensionUniqueName="[Table3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3" uniqueName="[Table3]" caption="Table3"/>
  </dimensions>
  <measureGroups count="2">
    <measureGroup name="Range" caption="Range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001"/>
    <x v="0"/>
    <x v="0"/>
    <x v="0"/>
    <s v="Laptop"/>
    <n v="55000"/>
    <n v="8000"/>
    <n v="2"/>
    <n v="27500"/>
    <n v="0.14545454545454545"/>
  </r>
  <r>
    <n v="1002"/>
    <x v="1"/>
    <x v="1"/>
    <x v="1"/>
    <s v="Chair"/>
    <n v="7000"/>
    <n v="1500"/>
    <n v="5"/>
    <n v="1400"/>
    <n v="0.21428571428571427"/>
  </r>
  <r>
    <n v="1003"/>
    <x v="2"/>
    <x v="2"/>
    <x v="2"/>
    <s v="T-Shirt"/>
    <n v="2500"/>
    <n v="500"/>
    <n v="10"/>
    <n v="250"/>
    <n v="0.2"/>
  </r>
  <r>
    <n v="1004"/>
    <x v="3"/>
    <x v="3"/>
    <x v="0"/>
    <s v="Mobile"/>
    <n v="30000"/>
    <n v="6000"/>
    <n v="3"/>
    <n v="10000"/>
    <n v="0.2"/>
  </r>
  <r>
    <n v="1005"/>
    <x v="4"/>
    <x v="0"/>
    <x v="1"/>
    <s v="Table"/>
    <n v="12000"/>
    <n v="2500"/>
    <n v="2"/>
    <n v="6000"/>
    <n v="0.20833333333333334"/>
  </r>
  <r>
    <n v="1006"/>
    <x v="5"/>
    <x v="1"/>
    <x v="0"/>
    <s v="Headphones"/>
    <n v="4000"/>
    <n v="800"/>
    <n v="4"/>
    <n v="1000"/>
    <n v="0.2"/>
  </r>
  <r>
    <n v="1007"/>
    <x v="6"/>
    <x v="2"/>
    <x v="2"/>
    <s v="Jeans"/>
    <n v="3500"/>
    <n v="700"/>
    <n v="6"/>
    <n v="583.33333333333337"/>
    <n v="0.2"/>
  </r>
  <r>
    <n v="1008"/>
    <x v="7"/>
    <x v="3"/>
    <x v="0"/>
    <s v="TV"/>
    <n v="45000"/>
    <n v="9000"/>
    <n v="1"/>
    <n v="45000"/>
    <n v="0.2"/>
  </r>
  <r>
    <n v="1009"/>
    <x v="8"/>
    <x v="0"/>
    <x v="1"/>
    <s v="Sofa"/>
    <n v="25000"/>
    <n v="5000"/>
    <n v="1"/>
    <n v="25000"/>
    <n v="0.2"/>
  </r>
  <r>
    <n v="1010"/>
    <x v="9"/>
    <x v="1"/>
    <x v="2"/>
    <s v="Jacket"/>
    <n v="5000"/>
    <n v="1000"/>
    <n v="3"/>
    <n v="1666.6666666666667"/>
    <n v="0.2"/>
  </r>
  <r>
    <n v="1011"/>
    <x v="10"/>
    <x v="2"/>
    <x v="0"/>
    <s v="Smart Watch"/>
    <n v="15000"/>
    <n v="3000"/>
    <n v="2"/>
    <n v="7500"/>
    <n v="0.2"/>
  </r>
  <r>
    <n v="1012"/>
    <x v="11"/>
    <x v="3"/>
    <x v="1"/>
    <s v="Bed"/>
    <n v="35000"/>
    <n v="7000"/>
    <n v="1"/>
    <n v="35000"/>
    <n v="0.2"/>
  </r>
  <r>
    <n v="1013"/>
    <x v="12"/>
    <x v="0"/>
    <x v="2"/>
    <s v="Shirt"/>
    <n v="2200"/>
    <n v="450"/>
    <n v="5"/>
    <n v="440"/>
    <n v="0.20454545454545456"/>
  </r>
  <r>
    <n v="1014"/>
    <x v="13"/>
    <x v="1"/>
    <x v="0"/>
    <s v="Printer"/>
    <n v="12000"/>
    <n v="2200"/>
    <n v="2"/>
    <n v="6000"/>
    <n v="0.18333333333333332"/>
  </r>
  <r>
    <n v="1015"/>
    <x v="14"/>
    <x v="2"/>
    <x v="1"/>
    <s v="Cupboard"/>
    <n v="18000"/>
    <n v="3500"/>
    <n v="1"/>
    <n v="18000"/>
    <n v="0.19444444444444445"/>
  </r>
  <r>
    <n v="1016"/>
    <x v="15"/>
    <x v="3"/>
    <x v="2"/>
    <s v="Saree"/>
    <n v="6000"/>
    <n v="1200"/>
    <n v="4"/>
    <n v="1500"/>
    <n v="0.2"/>
  </r>
  <r>
    <n v="1017"/>
    <x v="16"/>
    <x v="0"/>
    <x v="0"/>
    <s v="Camera"/>
    <n v="28000"/>
    <n v="5500"/>
    <n v="2"/>
    <n v="14000"/>
    <n v="0.19642857142857142"/>
  </r>
  <r>
    <n v="1018"/>
    <x v="17"/>
    <x v="1"/>
    <x v="1"/>
    <s v="Desk"/>
    <n v="9000"/>
    <n v="1800"/>
    <n v="2"/>
    <n v="4500"/>
    <n v="0.2"/>
  </r>
  <r>
    <n v="1019"/>
    <x v="18"/>
    <x v="2"/>
    <x v="2"/>
    <s v="Hoodie"/>
    <n v="4000"/>
    <n v="850"/>
    <n v="3"/>
    <n v="1333.3333333333333"/>
    <n v="0.21249999999999999"/>
  </r>
  <r>
    <n v="1020"/>
    <x v="19"/>
    <x v="3"/>
    <x v="0"/>
    <s v="Speaker"/>
    <n v="7500"/>
    <n v="1500"/>
    <n v="5"/>
    <n v="1500"/>
    <n v="0.2"/>
  </r>
  <r>
    <n v="1021"/>
    <x v="20"/>
    <x v="0"/>
    <x v="1"/>
    <s v="Dining Table"/>
    <n v="22000"/>
    <n v="4500"/>
    <n v="1"/>
    <n v="22000"/>
    <n v="0.20454545454545456"/>
  </r>
  <r>
    <n v="1022"/>
    <x v="21"/>
    <x v="1"/>
    <x v="2"/>
    <s v="Shoes"/>
    <n v="3200"/>
    <n v="650"/>
    <n v="4"/>
    <n v="800"/>
    <n v="0.203125"/>
  </r>
  <r>
    <n v="1023"/>
    <x v="22"/>
    <x v="2"/>
    <x v="0"/>
    <s v="Tablet"/>
    <n v="18000"/>
    <n v="3600"/>
    <n v="2"/>
    <n v="9000"/>
    <n v="0.2"/>
  </r>
  <r>
    <n v="1024"/>
    <x v="23"/>
    <x v="3"/>
    <x v="1"/>
    <s v="Wardrobe"/>
    <n v="27000"/>
    <n v="5000"/>
    <n v="1"/>
    <n v="27000"/>
    <n v="0.18518518518518517"/>
  </r>
  <r>
    <n v="1025"/>
    <x v="24"/>
    <x v="0"/>
    <x v="2"/>
    <s v="Kurta"/>
    <n v="2800"/>
    <n v="600"/>
    <n v="6"/>
    <n v="466.66666666666669"/>
    <n v="0.21428571428571427"/>
  </r>
  <r>
    <n v="1026"/>
    <x v="25"/>
    <x v="1"/>
    <x v="0"/>
    <s v="Monitor"/>
    <n v="14000"/>
    <n v="2800"/>
    <n v="2"/>
    <n v="7000"/>
    <n v="0.2"/>
  </r>
  <r>
    <n v="1027"/>
    <x v="26"/>
    <x v="2"/>
    <x v="1"/>
    <s v="Shelf"/>
    <n v="8000"/>
    <n v="1600"/>
    <n v="3"/>
    <n v="2666.6666666666665"/>
    <n v="0.2"/>
  </r>
  <r>
    <n v="1028"/>
    <x v="27"/>
    <x v="3"/>
    <x v="2"/>
    <s v="Blazer"/>
    <n v="7000"/>
    <n v="1400"/>
    <n v="2"/>
    <n v="3500"/>
    <n v="0.2"/>
  </r>
  <r>
    <n v="1029"/>
    <x v="28"/>
    <x v="0"/>
    <x v="0"/>
    <s v="Keyboard"/>
    <n v="3000"/>
    <n v="600"/>
    <n v="5"/>
    <n v="600"/>
    <n v="0.2"/>
  </r>
  <r>
    <n v="1030"/>
    <x v="29"/>
    <x v="1"/>
    <x v="1"/>
    <s v="Recliner"/>
    <n v="26000"/>
    <n v="5200"/>
    <n v="1"/>
    <n v="26000"/>
    <n v="0.2"/>
  </r>
  <r>
    <n v="1031"/>
    <x v="30"/>
    <x v="2"/>
    <x v="2"/>
    <s v="Cap"/>
    <n v="1200"/>
    <n v="250"/>
    <n v="8"/>
    <n v="150"/>
    <n v="0.20833333333333334"/>
  </r>
  <r>
    <n v="1032"/>
    <x v="31"/>
    <x v="3"/>
    <x v="0"/>
    <s v="Router"/>
    <n v="5000"/>
    <n v="1000"/>
    <n v="4"/>
    <n v="1250"/>
    <n v="0.2"/>
  </r>
  <r>
    <n v="1033"/>
    <x v="32"/>
    <x v="0"/>
    <x v="1"/>
    <s v="Stool"/>
    <n v="3500"/>
    <n v="700"/>
    <n v="6"/>
    <n v="583.33333333333337"/>
    <n v="0.2"/>
  </r>
  <r>
    <n v="1034"/>
    <x v="33"/>
    <x v="1"/>
    <x v="2"/>
    <s v="Tracksuit"/>
    <n v="4500"/>
    <n v="900"/>
    <n v="3"/>
    <n v="1500"/>
    <n v="0.2"/>
  </r>
  <r>
    <n v="1035"/>
    <x v="34"/>
    <x v="2"/>
    <x v="0"/>
    <s v="Hard Disk"/>
    <n v="6500"/>
    <n v="1300"/>
    <n v="2"/>
    <n v="3250"/>
    <n v="0.2"/>
  </r>
  <r>
    <n v="1036"/>
    <x v="35"/>
    <x v="3"/>
    <x v="1"/>
    <s v="TV Unit"/>
    <n v="15000"/>
    <n v="3000"/>
    <n v="1"/>
    <n v="15000"/>
    <n v="0.2"/>
  </r>
  <r>
    <n v="1037"/>
    <x v="36"/>
    <x v="0"/>
    <x v="2"/>
    <s v="Socks"/>
    <n v="900"/>
    <n v="180"/>
    <n v="12"/>
    <n v="75"/>
    <n v="0.2"/>
  </r>
  <r>
    <n v="1038"/>
    <x v="37"/>
    <x v="1"/>
    <x v="0"/>
    <s v="Mouse"/>
    <n v="1500"/>
    <n v="300"/>
    <n v="7"/>
    <n v="214.28571428571428"/>
    <n v="0.2"/>
  </r>
  <r>
    <n v="1039"/>
    <x v="38"/>
    <x v="2"/>
    <x v="1"/>
    <s v="Bean Bag"/>
    <n v="5500"/>
    <n v="1100"/>
    <n v="2"/>
    <n v="2750"/>
    <n v="0.2"/>
  </r>
  <r>
    <n v="1040"/>
    <x v="39"/>
    <x v="3"/>
    <x v="2"/>
    <s v="Sweater"/>
    <n v="3800"/>
    <n v="760"/>
    <n v="3"/>
    <n v="1266.6666666666667"/>
    <n v="0.2"/>
  </r>
  <r>
    <m/>
    <x v="40"/>
    <x v="4"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6F6B9-43EF-452D-8120-37220D8FE3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0"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6A4D5-D8F7-45D3-8BD0-F0201A5CBC6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0"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3E5FC-A448-4F43-A519-3BA9534D092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chartFormats count="1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28286-6430-4FC3-8E75-FF283ABF111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D0D851-AD2F-4562-8116-7AA2E157F153}" name="Table3" displayName="Table3" ref="A1:K41" totalsRowShown="0" headerRowDxfId="12" dataDxfId="11">
  <autoFilter ref="A1:K41" xr:uid="{67D0D851-AD2F-4562-8116-7AA2E157F153}"/>
  <tableColumns count="11">
    <tableColumn id="1" xr3:uid="{403FF339-12C8-439E-8305-3DB8F5913658}" name="Order ID" dataDxfId="10"/>
    <tableColumn id="2" xr3:uid="{D6CC6B13-9D07-47BD-9A05-C46F6EBFEB50}" name="Date" dataDxfId="9"/>
    <tableColumn id="3" xr3:uid="{CA95EB1C-D44A-40CE-B30A-293C5EB49368}" name="Region" dataDxfId="8"/>
    <tableColumn id="4" xr3:uid="{ED5DF696-66B1-4FE3-ABBB-8B716D7D0916}" name="Category" dataDxfId="7"/>
    <tableColumn id="5" xr3:uid="{B01755EA-0EFA-4F4B-8861-C7B9D4C9E68D}" name="Product" dataDxfId="6"/>
    <tableColumn id="6" xr3:uid="{3288A07D-840D-495E-B6A7-2AE49AA8C72B}" name="Sales" dataDxfId="5"/>
    <tableColumn id="7" xr3:uid="{BE3142FC-89FF-4FEF-9C9E-5D850B342AAD}" name="Profit" dataDxfId="4"/>
    <tableColumn id="8" xr3:uid="{F36D594B-0CF2-43CF-B49B-8116E2B5EC8C}" name="Quantity" dataDxfId="3"/>
    <tableColumn id="9" xr3:uid="{C705DC8F-64FC-4351-8F62-8F142A457AD3}" name="Sales Per unit " dataDxfId="2">
      <calculatedColumnFormula>F2/H2</calculatedColumnFormula>
    </tableColumn>
    <tableColumn id="10" xr3:uid="{E7BD1744-275E-4C92-93F6-91BBD0414F95}" name="profit %" dataDxfId="1">
      <calculatedColumnFormula>G2/F2</calculatedColumnFormula>
    </tableColumn>
    <tableColumn id="11" xr3:uid="{CE5E0AF5-0A0B-4867-8582-24145BC85DE4}" name="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AED0-45AA-42B2-9605-95F8854C7669}">
  <dimension ref="A3:B8"/>
  <sheetViews>
    <sheetView workbookViewId="0">
      <selection activeCell="L22" sqref="L2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3" t="s">
        <v>63</v>
      </c>
      <c r="B3" t="s">
        <v>62</v>
      </c>
    </row>
    <row r="4" spans="1:2" x14ac:dyDescent="0.3">
      <c r="A4" s="24" t="s">
        <v>17</v>
      </c>
      <c r="B4">
        <v>181300</v>
      </c>
    </row>
    <row r="5" spans="1:2" x14ac:dyDescent="0.3">
      <c r="A5" s="24" t="s">
        <v>11</v>
      </c>
      <c r="B5">
        <v>86200</v>
      </c>
    </row>
    <row r="6" spans="1:2" x14ac:dyDescent="0.3">
      <c r="A6" s="24" t="s">
        <v>14</v>
      </c>
      <c r="B6">
        <v>82200</v>
      </c>
    </row>
    <row r="7" spans="1:2" x14ac:dyDescent="0.3">
      <c r="A7" s="24" t="s">
        <v>8</v>
      </c>
      <c r="B7">
        <v>154400</v>
      </c>
    </row>
    <row r="8" spans="1:2" x14ac:dyDescent="0.3">
      <c r="A8" s="24" t="s">
        <v>64</v>
      </c>
      <c r="B8">
        <v>504100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A75-D840-4782-A5AF-FB5CCD6669F5}">
  <dimension ref="A3:B7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3" t="s">
        <v>63</v>
      </c>
      <c r="B3" t="s">
        <v>65</v>
      </c>
    </row>
    <row r="4" spans="1:2" x14ac:dyDescent="0.3">
      <c r="A4" s="24" t="s">
        <v>15</v>
      </c>
      <c r="B4">
        <v>9440</v>
      </c>
    </row>
    <row r="5" spans="1:2" x14ac:dyDescent="0.3">
      <c r="A5" s="24" t="s">
        <v>9</v>
      </c>
      <c r="B5">
        <v>45600</v>
      </c>
    </row>
    <row r="6" spans="1:2" x14ac:dyDescent="0.3">
      <c r="A6" s="24" t="s">
        <v>12</v>
      </c>
      <c r="B6">
        <v>42400</v>
      </c>
    </row>
    <row r="7" spans="1:2" x14ac:dyDescent="0.3">
      <c r="A7" s="24" t="s">
        <v>64</v>
      </c>
      <c r="B7">
        <v>97440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9668-5E68-4124-B693-87E911C45080}">
  <dimension ref="A3:B6"/>
  <sheetViews>
    <sheetView workbookViewId="0">
      <selection activeCell="K19" sqref="K19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3" t="s">
        <v>63</v>
      </c>
      <c r="B3" t="s">
        <v>62</v>
      </c>
    </row>
    <row r="4" spans="1:2" x14ac:dyDescent="0.3">
      <c r="A4" s="24" t="s">
        <v>67</v>
      </c>
      <c r="B4">
        <v>504100</v>
      </c>
    </row>
    <row r="5" spans="1:2" x14ac:dyDescent="0.3">
      <c r="A5" s="24" t="s">
        <v>68</v>
      </c>
      <c r="B5">
        <v>504100</v>
      </c>
    </row>
    <row r="6" spans="1:2" x14ac:dyDescent="0.3">
      <c r="A6" s="24" t="s">
        <v>64</v>
      </c>
      <c r="B6">
        <v>504100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3FC1-905D-407A-B259-A7B0529C46F2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4"/>
      <c r="B3" s="15"/>
      <c r="C3" s="16"/>
    </row>
    <row r="4" spans="1:3" x14ac:dyDescent="0.3">
      <c r="A4" s="17"/>
      <c r="B4" s="18"/>
      <c r="C4" s="19"/>
    </row>
    <row r="5" spans="1:3" x14ac:dyDescent="0.3">
      <c r="A5" s="17"/>
      <c r="B5" s="18"/>
      <c r="C5" s="19"/>
    </row>
    <row r="6" spans="1:3" x14ac:dyDescent="0.3">
      <c r="A6" s="17"/>
      <c r="B6" s="18"/>
      <c r="C6" s="19"/>
    </row>
    <row r="7" spans="1:3" x14ac:dyDescent="0.3">
      <c r="A7" s="17"/>
      <c r="B7" s="18"/>
      <c r="C7" s="19"/>
    </row>
    <row r="8" spans="1:3" x14ac:dyDescent="0.3">
      <c r="A8" s="17"/>
      <c r="B8" s="18"/>
      <c r="C8" s="19"/>
    </row>
    <row r="9" spans="1:3" x14ac:dyDescent="0.3">
      <c r="A9" s="17"/>
      <c r="B9" s="18"/>
      <c r="C9" s="19"/>
    </row>
    <row r="10" spans="1:3" x14ac:dyDescent="0.3">
      <c r="A10" s="17"/>
      <c r="B10" s="18"/>
      <c r="C10" s="19"/>
    </row>
    <row r="11" spans="1:3" x14ac:dyDescent="0.3">
      <c r="A11" s="17"/>
      <c r="B11" s="18"/>
      <c r="C11" s="19"/>
    </row>
    <row r="12" spans="1:3" x14ac:dyDescent="0.3">
      <c r="A12" s="17"/>
      <c r="B12" s="18"/>
      <c r="C12" s="19"/>
    </row>
    <row r="13" spans="1:3" x14ac:dyDescent="0.3">
      <c r="A13" s="17"/>
      <c r="B13" s="18"/>
      <c r="C13" s="19"/>
    </row>
    <row r="14" spans="1:3" x14ac:dyDescent="0.3">
      <c r="A14" s="17"/>
      <c r="B14" s="18"/>
      <c r="C14" s="19"/>
    </row>
    <row r="15" spans="1:3" x14ac:dyDescent="0.3">
      <c r="A15" s="17"/>
      <c r="B15" s="18"/>
      <c r="C15" s="19"/>
    </row>
    <row r="16" spans="1:3" x14ac:dyDescent="0.3">
      <c r="A16" s="17"/>
      <c r="B16" s="18"/>
      <c r="C16" s="19"/>
    </row>
    <row r="17" spans="1:3" x14ac:dyDescent="0.3">
      <c r="A17" s="17"/>
      <c r="B17" s="18"/>
      <c r="C17" s="19"/>
    </row>
    <row r="18" spans="1:3" x14ac:dyDescent="0.3">
      <c r="A18" s="17"/>
      <c r="B18" s="18"/>
      <c r="C18" s="19"/>
    </row>
    <row r="19" spans="1:3" x14ac:dyDescent="0.3">
      <c r="A19" s="17"/>
      <c r="B19" s="18"/>
      <c r="C19" s="19"/>
    </row>
    <row r="20" spans="1:3" x14ac:dyDescent="0.3">
      <c r="A20" s="20"/>
      <c r="B20" s="21"/>
      <c r="C2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BCD4-C0B9-4168-A48A-F001F291FDA5}">
  <dimension ref="A1:K41"/>
  <sheetViews>
    <sheetView workbookViewId="0">
      <selection activeCell="L15" sqref="L15"/>
    </sheetView>
  </sheetViews>
  <sheetFormatPr defaultRowHeight="14.4" x14ac:dyDescent="0.3"/>
  <cols>
    <col min="1" max="1" width="12.44140625" style="10" bestFit="1" customWidth="1"/>
    <col min="2" max="2" width="10.33203125" style="7" bestFit="1" customWidth="1"/>
    <col min="3" max="3" width="11.21875" bestFit="1" customWidth="1"/>
    <col min="4" max="4" width="16.6640625" customWidth="1"/>
    <col min="5" max="5" width="12.109375" bestFit="1" customWidth="1"/>
    <col min="6" max="6" width="12" style="13" bestFit="1" customWidth="1"/>
    <col min="7" max="7" width="10.109375" style="13" bestFit="1" customWidth="1"/>
    <col min="8" max="8" width="12.77734375" bestFit="1" customWidth="1"/>
    <col min="9" max="9" width="16.6640625" style="13" bestFit="1" customWidth="1"/>
    <col min="10" max="10" width="14.21875" style="5" bestFit="1" customWidth="1"/>
    <col min="11" max="11" width="11.21875" bestFit="1" customWidth="1"/>
    <col min="12" max="12" width="11.88671875" bestFit="1" customWidth="1"/>
  </cols>
  <sheetData>
    <row r="1" spans="1:11" x14ac:dyDescent="0.3">
      <c r="A1" s="8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" t="s">
        <v>7</v>
      </c>
      <c r="I1" s="11" t="s">
        <v>55</v>
      </c>
      <c r="J1" s="4" t="s">
        <v>56</v>
      </c>
      <c r="K1" s="1" t="s">
        <v>66</v>
      </c>
    </row>
    <row r="2" spans="1:11" x14ac:dyDescent="0.3">
      <c r="A2" s="9">
        <v>1001</v>
      </c>
      <c r="B2" s="3">
        <v>45658</v>
      </c>
      <c r="C2" s="2" t="s">
        <v>8</v>
      </c>
      <c r="D2" s="2" t="s">
        <v>9</v>
      </c>
      <c r="E2" s="2" t="s">
        <v>10</v>
      </c>
      <c r="F2" s="12">
        <v>55000</v>
      </c>
      <c r="G2" s="12">
        <v>8000</v>
      </c>
      <c r="H2" s="9">
        <v>2</v>
      </c>
      <c r="I2" s="13">
        <f>F2/H2</f>
        <v>27500</v>
      </c>
      <c r="J2" s="5">
        <f>G2/F2</f>
        <v>0.14545454545454545</v>
      </c>
      <c r="K2" s="2" t="str">
        <f t="shared" ref="K2:K41" si="0">TEXT(B2,"mmm")</f>
        <v>Jan</v>
      </c>
    </row>
    <row r="3" spans="1:11" x14ac:dyDescent="0.3">
      <c r="A3" s="9">
        <v>1002</v>
      </c>
      <c r="B3" s="3">
        <v>45659</v>
      </c>
      <c r="C3" s="2" t="s">
        <v>11</v>
      </c>
      <c r="D3" s="2" t="s">
        <v>12</v>
      </c>
      <c r="E3" s="2" t="s">
        <v>13</v>
      </c>
      <c r="F3" s="12">
        <v>7000</v>
      </c>
      <c r="G3" s="12">
        <v>1500</v>
      </c>
      <c r="H3" s="9">
        <v>5</v>
      </c>
      <c r="I3" s="13">
        <f t="shared" ref="I3:I41" si="1">F3/H3</f>
        <v>1400</v>
      </c>
      <c r="J3" s="5">
        <f t="shared" ref="J3:J41" si="2">G3/F3</f>
        <v>0.21428571428571427</v>
      </c>
      <c r="K3" s="2" t="str">
        <f t="shared" si="0"/>
        <v>Jan</v>
      </c>
    </row>
    <row r="4" spans="1:11" x14ac:dyDescent="0.3">
      <c r="A4" s="9">
        <v>1003</v>
      </c>
      <c r="B4" s="3">
        <v>45660</v>
      </c>
      <c r="C4" s="2" t="s">
        <v>14</v>
      </c>
      <c r="D4" s="2" t="s">
        <v>15</v>
      </c>
      <c r="E4" s="2" t="s">
        <v>16</v>
      </c>
      <c r="F4" s="12">
        <v>2500</v>
      </c>
      <c r="G4" s="12">
        <v>500</v>
      </c>
      <c r="H4" s="9">
        <v>10</v>
      </c>
      <c r="I4" s="13">
        <f t="shared" si="1"/>
        <v>250</v>
      </c>
      <c r="J4" s="5">
        <f t="shared" si="2"/>
        <v>0.2</v>
      </c>
      <c r="K4" s="2" t="str">
        <f t="shared" si="0"/>
        <v>Jan</v>
      </c>
    </row>
    <row r="5" spans="1:11" x14ac:dyDescent="0.3">
      <c r="A5" s="9">
        <v>1004</v>
      </c>
      <c r="B5" s="3">
        <v>45661</v>
      </c>
      <c r="C5" s="2" t="s">
        <v>17</v>
      </c>
      <c r="D5" s="2" t="s">
        <v>9</v>
      </c>
      <c r="E5" s="2" t="s">
        <v>18</v>
      </c>
      <c r="F5" s="12">
        <v>30000</v>
      </c>
      <c r="G5" s="12">
        <v>6000</v>
      </c>
      <c r="H5" s="9">
        <v>3</v>
      </c>
      <c r="I5" s="13">
        <f t="shared" si="1"/>
        <v>10000</v>
      </c>
      <c r="J5" s="5">
        <f t="shared" si="2"/>
        <v>0.2</v>
      </c>
      <c r="K5" s="2" t="str">
        <f t="shared" si="0"/>
        <v>Jan</v>
      </c>
    </row>
    <row r="6" spans="1:11" x14ac:dyDescent="0.3">
      <c r="A6" s="9">
        <v>1005</v>
      </c>
      <c r="B6" s="3">
        <v>45662</v>
      </c>
      <c r="C6" s="2" t="s">
        <v>8</v>
      </c>
      <c r="D6" s="2" t="s">
        <v>12</v>
      </c>
      <c r="E6" s="2" t="s">
        <v>19</v>
      </c>
      <c r="F6" s="12">
        <v>12000</v>
      </c>
      <c r="G6" s="12">
        <v>2500</v>
      </c>
      <c r="H6" s="9">
        <v>2</v>
      </c>
      <c r="I6" s="13">
        <f t="shared" si="1"/>
        <v>6000</v>
      </c>
      <c r="J6" s="5">
        <f t="shared" si="2"/>
        <v>0.20833333333333334</v>
      </c>
      <c r="K6" s="2" t="str">
        <f t="shared" si="0"/>
        <v>Jan</v>
      </c>
    </row>
    <row r="7" spans="1:11" x14ac:dyDescent="0.3">
      <c r="A7" s="9">
        <v>1006</v>
      </c>
      <c r="B7" s="3">
        <v>45663</v>
      </c>
      <c r="C7" s="2" t="s">
        <v>11</v>
      </c>
      <c r="D7" s="2" t="s">
        <v>9</v>
      </c>
      <c r="E7" s="2" t="s">
        <v>20</v>
      </c>
      <c r="F7" s="12">
        <v>4000</v>
      </c>
      <c r="G7" s="12">
        <v>800</v>
      </c>
      <c r="H7" s="9">
        <v>4</v>
      </c>
      <c r="I7" s="13">
        <f t="shared" si="1"/>
        <v>1000</v>
      </c>
      <c r="J7" s="5">
        <f t="shared" si="2"/>
        <v>0.2</v>
      </c>
      <c r="K7" s="2" t="str">
        <f t="shared" si="0"/>
        <v>Jan</v>
      </c>
    </row>
    <row r="8" spans="1:11" x14ac:dyDescent="0.3">
      <c r="A8" s="9">
        <v>1007</v>
      </c>
      <c r="B8" s="3">
        <v>45664</v>
      </c>
      <c r="C8" s="2" t="s">
        <v>14</v>
      </c>
      <c r="D8" s="2" t="s">
        <v>15</v>
      </c>
      <c r="E8" s="2" t="s">
        <v>21</v>
      </c>
      <c r="F8" s="12">
        <v>3500</v>
      </c>
      <c r="G8" s="12">
        <v>700</v>
      </c>
      <c r="H8" s="9">
        <v>6</v>
      </c>
      <c r="I8" s="13">
        <f t="shared" si="1"/>
        <v>583.33333333333337</v>
      </c>
      <c r="J8" s="5">
        <f t="shared" si="2"/>
        <v>0.2</v>
      </c>
      <c r="K8" s="2" t="str">
        <f t="shared" si="0"/>
        <v>Jan</v>
      </c>
    </row>
    <row r="9" spans="1:11" x14ac:dyDescent="0.3">
      <c r="A9" s="9">
        <v>1008</v>
      </c>
      <c r="B9" s="3">
        <v>45665</v>
      </c>
      <c r="C9" s="2" t="s">
        <v>17</v>
      </c>
      <c r="D9" s="2" t="s">
        <v>9</v>
      </c>
      <c r="E9" s="2" t="s">
        <v>22</v>
      </c>
      <c r="F9" s="12">
        <v>45000</v>
      </c>
      <c r="G9" s="12">
        <v>9000</v>
      </c>
      <c r="H9" s="9">
        <v>1</v>
      </c>
      <c r="I9" s="13">
        <f t="shared" si="1"/>
        <v>45000</v>
      </c>
      <c r="J9" s="5">
        <f t="shared" si="2"/>
        <v>0.2</v>
      </c>
      <c r="K9" s="2" t="str">
        <f t="shared" si="0"/>
        <v>Jan</v>
      </c>
    </row>
    <row r="10" spans="1:11" x14ac:dyDescent="0.3">
      <c r="A10" s="9">
        <v>1009</v>
      </c>
      <c r="B10" s="3">
        <v>45666</v>
      </c>
      <c r="C10" s="2" t="s">
        <v>8</v>
      </c>
      <c r="D10" s="2" t="s">
        <v>12</v>
      </c>
      <c r="E10" s="2" t="s">
        <v>23</v>
      </c>
      <c r="F10" s="12">
        <v>25000</v>
      </c>
      <c r="G10" s="12">
        <v>5000</v>
      </c>
      <c r="H10" s="9">
        <v>1</v>
      </c>
      <c r="I10" s="13">
        <f t="shared" si="1"/>
        <v>25000</v>
      </c>
      <c r="J10" s="5">
        <f t="shared" si="2"/>
        <v>0.2</v>
      </c>
      <c r="K10" s="2" t="str">
        <f t="shared" si="0"/>
        <v>Jan</v>
      </c>
    </row>
    <row r="11" spans="1:11" x14ac:dyDescent="0.3">
      <c r="A11" s="9">
        <v>1010</v>
      </c>
      <c r="B11" s="3">
        <v>45667</v>
      </c>
      <c r="C11" s="2" t="s">
        <v>11</v>
      </c>
      <c r="D11" s="2" t="s">
        <v>15</v>
      </c>
      <c r="E11" s="2" t="s">
        <v>24</v>
      </c>
      <c r="F11" s="12">
        <v>5000</v>
      </c>
      <c r="G11" s="12">
        <v>1000</v>
      </c>
      <c r="H11" s="9">
        <v>3</v>
      </c>
      <c r="I11" s="13">
        <f t="shared" si="1"/>
        <v>1666.6666666666667</v>
      </c>
      <c r="J11" s="5">
        <f t="shared" si="2"/>
        <v>0.2</v>
      </c>
      <c r="K11" s="2" t="str">
        <f t="shared" si="0"/>
        <v>Jan</v>
      </c>
    </row>
    <row r="12" spans="1:11" x14ac:dyDescent="0.3">
      <c r="A12" s="9">
        <v>1011</v>
      </c>
      <c r="B12" s="3">
        <v>45668</v>
      </c>
      <c r="C12" s="2" t="s">
        <v>14</v>
      </c>
      <c r="D12" s="2" t="s">
        <v>9</v>
      </c>
      <c r="E12" s="2" t="s">
        <v>25</v>
      </c>
      <c r="F12" s="12">
        <v>15000</v>
      </c>
      <c r="G12" s="12">
        <v>3000</v>
      </c>
      <c r="H12" s="9">
        <v>2</v>
      </c>
      <c r="I12" s="13">
        <f t="shared" si="1"/>
        <v>7500</v>
      </c>
      <c r="J12" s="5">
        <f t="shared" si="2"/>
        <v>0.2</v>
      </c>
      <c r="K12" s="2" t="str">
        <f t="shared" si="0"/>
        <v>Jan</v>
      </c>
    </row>
    <row r="13" spans="1:11" x14ac:dyDescent="0.3">
      <c r="A13" s="9">
        <v>1012</v>
      </c>
      <c r="B13" s="3">
        <v>45669</v>
      </c>
      <c r="C13" s="2" t="s">
        <v>17</v>
      </c>
      <c r="D13" s="2" t="s">
        <v>12</v>
      </c>
      <c r="E13" s="2" t="s">
        <v>26</v>
      </c>
      <c r="F13" s="12">
        <v>35000</v>
      </c>
      <c r="G13" s="12">
        <v>7000</v>
      </c>
      <c r="H13" s="9">
        <v>1</v>
      </c>
      <c r="I13" s="13">
        <f t="shared" si="1"/>
        <v>35000</v>
      </c>
      <c r="J13" s="5">
        <f t="shared" si="2"/>
        <v>0.2</v>
      </c>
      <c r="K13" s="2" t="str">
        <f t="shared" si="0"/>
        <v>Jan</v>
      </c>
    </row>
    <row r="14" spans="1:11" x14ac:dyDescent="0.3">
      <c r="A14" s="9">
        <v>1013</v>
      </c>
      <c r="B14" s="3">
        <v>45670</v>
      </c>
      <c r="C14" s="2" t="s">
        <v>8</v>
      </c>
      <c r="D14" s="2" t="s">
        <v>15</v>
      </c>
      <c r="E14" s="2" t="s">
        <v>27</v>
      </c>
      <c r="F14" s="12">
        <v>2200</v>
      </c>
      <c r="G14" s="12">
        <v>450</v>
      </c>
      <c r="H14" s="9">
        <v>5</v>
      </c>
      <c r="I14" s="13">
        <f t="shared" si="1"/>
        <v>440</v>
      </c>
      <c r="J14" s="5">
        <f t="shared" si="2"/>
        <v>0.20454545454545456</v>
      </c>
      <c r="K14" s="2" t="str">
        <f t="shared" si="0"/>
        <v>Jan</v>
      </c>
    </row>
    <row r="15" spans="1:11" x14ac:dyDescent="0.3">
      <c r="A15" s="9">
        <v>1014</v>
      </c>
      <c r="B15" s="3">
        <v>45671</v>
      </c>
      <c r="C15" s="2" t="s">
        <v>11</v>
      </c>
      <c r="D15" s="2" t="s">
        <v>9</v>
      </c>
      <c r="E15" s="2" t="s">
        <v>28</v>
      </c>
      <c r="F15" s="12">
        <v>12000</v>
      </c>
      <c r="G15" s="12">
        <v>2200</v>
      </c>
      <c r="H15" s="9">
        <v>2</v>
      </c>
      <c r="I15" s="13">
        <f t="shared" si="1"/>
        <v>6000</v>
      </c>
      <c r="J15" s="5">
        <f t="shared" si="2"/>
        <v>0.18333333333333332</v>
      </c>
      <c r="K15" s="2" t="str">
        <f t="shared" si="0"/>
        <v>Jan</v>
      </c>
    </row>
    <row r="16" spans="1:11" x14ac:dyDescent="0.3">
      <c r="A16" s="9">
        <v>1015</v>
      </c>
      <c r="B16" s="3">
        <v>45672</v>
      </c>
      <c r="C16" s="2" t="s">
        <v>14</v>
      </c>
      <c r="D16" s="2" t="s">
        <v>12</v>
      </c>
      <c r="E16" s="2" t="s">
        <v>29</v>
      </c>
      <c r="F16" s="12">
        <v>18000</v>
      </c>
      <c r="G16" s="12">
        <v>3500</v>
      </c>
      <c r="H16" s="9">
        <v>1</v>
      </c>
      <c r="I16" s="13">
        <f t="shared" si="1"/>
        <v>18000</v>
      </c>
      <c r="J16" s="5">
        <f t="shared" si="2"/>
        <v>0.19444444444444445</v>
      </c>
      <c r="K16" s="2" t="str">
        <f t="shared" si="0"/>
        <v>Jan</v>
      </c>
    </row>
    <row r="17" spans="1:11" x14ac:dyDescent="0.3">
      <c r="A17" s="9">
        <v>1016</v>
      </c>
      <c r="B17" s="3">
        <v>45673</v>
      </c>
      <c r="C17" s="2" t="s">
        <v>17</v>
      </c>
      <c r="D17" s="2" t="s">
        <v>15</v>
      </c>
      <c r="E17" s="2" t="s">
        <v>30</v>
      </c>
      <c r="F17" s="12">
        <v>6000</v>
      </c>
      <c r="G17" s="12">
        <v>1200</v>
      </c>
      <c r="H17" s="9">
        <v>4</v>
      </c>
      <c r="I17" s="13">
        <f t="shared" si="1"/>
        <v>1500</v>
      </c>
      <c r="J17" s="5">
        <f t="shared" si="2"/>
        <v>0.2</v>
      </c>
      <c r="K17" s="2" t="str">
        <f t="shared" si="0"/>
        <v>Jan</v>
      </c>
    </row>
    <row r="18" spans="1:11" x14ac:dyDescent="0.3">
      <c r="A18" s="9">
        <v>1017</v>
      </c>
      <c r="B18" s="3">
        <v>45674</v>
      </c>
      <c r="C18" s="2" t="s">
        <v>8</v>
      </c>
      <c r="D18" s="2" t="s">
        <v>9</v>
      </c>
      <c r="E18" s="2" t="s">
        <v>31</v>
      </c>
      <c r="F18" s="12">
        <v>28000</v>
      </c>
      <c r="G18" s="12">
        <v>5500</v>
      </c>
      <c r="H18" s="9">
        <v>2</v>
      </c>
      <c r="I18" s="13">
        <f t="shared" si="1"/>
        <v>14000</v>
      </c>
      <c r="J18" s="5">
        <f t="shared" si="2"/>
        <v>0.19642857142857142</v>
      </c>
      <c r="K18" s="2" t="str">
        <f t="shared" si="0"/>
        <v>Jan</v>
      </c>
    </row>
    <row r="19" spans="1:11" x14ac:dyDescent="0.3">
      <c r="A19" s="9">
        <v>1018</v>
      </c>
      <c r="B19" s="3">
        <v>45675</v>
      </c>
      <c r="C19" s="2" t="s">
        <v>11</v>
      </c>
      <c r="D19" s="2" t="s">
        <v>12</v>
      </c>
      <c r="E19" s="2" t="s">
        <v>32</v>
      </c>
      <c r="F19" s="12">
        <v>9000</v>
      </c>
      <c r="G19" s="12">
        <v>1800</v>
      </c>
      <c r="H19" s="9">
        <v>2</v>
      </c>
      <c r="I19" s="13">
        <f t="shared" si="1"/>
        <v>4500</v>
      </c>
      <c r="J19" s="5">
        <f t="shared" si="2"/>
        <v>0.2</v>
      </c>
      <c r="K19" s="2" t="str">
        <f t="shared" si="0"/>
        <v>Jan</v>
      </c>
    </row>
    <row r="20" spans="1:11" x14ac:dyDescent="0.3">
      <c r="A20" s="9">
        <v>1019</v>
      </c>
      <c r="B20" s="3">
        <v>45676</v>
      </c>
      <c r="C20" s="2" t="s">
        <v>14</v>
      </c>
      <c r="D20" s="2" t="s">
        <v>15</v>
      </c>
      <c r="E20" s="2" t="s">
        <v>33</v>
      </c>
      <c r="F20" s="12">
        <v>4000</v>
      </c>
      <c r="G20" s="12">
        <v>850</v>
      </c>
      <c r="H20" s="9">
        <v>3</v>
      </c>
      <c r="I20" s="13">
        <f t="shared" si="1"/>
        <v>1333.3333333333333</v>
      </c>
      <c r="J20" s="5">
        <f t="shared" si="2"/>
        <v>0.21249999999999999</v>
      </c>
      <c r="K20" s="2" t="str">
        <f t="shared" si="0"/>
        <v>Jan</v>
      </c>
    </row>
    <row r="21" spans="1:11" x14ac:dyDescent="0.3">
      <c r="A21" s="9">
        <v>1020</v>
      </c>
      <c r="B21" s="3">
        <v>45677</v>
      </c>
      <c r="C21" s="2" t="s">
        <v>17</v>
      </c>
      <c r="D21" s="2" t="s">
        <v>9</v>
      </c>
      <c r="E21" s="2" t="s">
        <v>34</v>
      </c>
      <c r="F21" s="12">
        <v>7500</v>
      </c>
      <c r="G21" s="12">
        <v>1500</v>
      </c>
      <c r="H21" s="9">
        <v>5</v>
      </c>
      <c r="I21" s="13">
        <f t="shared" si="1"/>
        <v>1500</v>
      </c>
      <c r="J21" s="5">
        <f t="shared" si="2"/>
        <v>0.2</v>
      </c>
      <c r="K21" s="2" t="str">
        <f t="shared" si="0"/>
        <v>Jan</v>
      </c>
    </row>
    <row r="22" spans="1:11" x14ac:dyDescent="0.3">
      <c r="A22" s="9">
        <v>1021</v>
      </c>
      <c r="B22" s="3">
        <v>45678</v>
      </c>
      <c r="C22" s="2" t="s">
        <v>8</v>
      </c>
      <c r="D22" s="2" t="s">
        <v>12</v>
      </c>
      <c r="E22" s="2" t="s">
        <v>35</v>
      </c>
      <c r="F22" s="12">
        <v>22000</v>
      </c>
      <c r="G22" s="12">
        <v>4500</v>
      </c>
      <c r="H22" s="9">
        <v>1</v>
      </c>
      <c r="I22" s="13">
        <f t="shared" si="1"/>
        <v>22000</v>
      </c>
      <c r="J22" s="5">
        <f t="shared" si="2"/>
        <v>0.20454545454545456</v>
      </c>
      <c r="K22" s="2" t="str">
        <f t="shared" si="0"/>
        <v>Jan</v>
      </c>
    </row>
    <row r="23" spans="1:11" x14ac:dyDescent="0.3">
      <c r="A23" s="9">
        <v>1022</v>
      </c>
      <c r="B23" s="3">
        <v>45679</v>
      </c>
      <c r="C23" s="2" t="s">
        <v>11</v>
      </c>
      <c r="D23" s="2" t="s">
        <v>15</v>
      </c>
      <c r="E23" s="2" t="s">
        <v>36</v>
      </c>
      <c r="F23" s="12">
        <v>3200</v>
      </c>
      <c r="G23" s="12">
        <v>650</v>
      </c>
      <c r="H23" s="9">
        <v>4</v>
      </c>
      <c r="I23" s="13">
        <f t="shared" si="1"/>
        <v>800</v>
      </c>
      <c r="J23" s="5">
        <f t="shared" si="2"/>
        <v>0.203125</v>
      </c>
      <c r="K23" s="2" t="str">
        <f t="shared" si="0"/>
        <v>Jan</v>
      </c>
    </row>
    <row r="24" spans="1:11" x14ac:dyDescent="0.3">
      <c r="A24" s="9">
        <v>1023</v>
      </c>
      <c r="B24" s="3">
        <v>45680</v>
      </c>
      <c r="C24" s="2" t="s">
        <v>14</v>
      </c>
      <c r="D24" s="2" t="s">
        <v>9</v>
      </c>
      <c r="E24" s="2" t="s">
        <v>37</v>
      </c>
      <c r="F24" s="12">
        <v>18000</v>
      </c>
      <c r="G24" s="12">
        <v>3600</v>
      </c>
      <c r="H24" s="9">
        <v>2</v>
      </c>
      <c r="I24" s="13">
        <f t="shared" si="1"/>
        <v>9000</v>
      </c>
      <c r="J24" s="5">
        <f t="shared" si="2"/>
        <v>0.2</v>
      </c>
      <c r="K24" s="2" t="str">
        <f t="shared" si="0"/>
        <v>Jan</v>
      </c>
    </row>
    <row r="25" spans="1:11" x14ac:dyDescent="0.3">
      <c r="A25" s="9">
        <v>1024</v>
      </c>
      <c r="B25" s="3">
        <v>45681</v>
      </c>
      <c r="C25" s="2" t="s">
        <v>17</v>
      </c>
      <c r="D25" s="2" t="s">
        <v>12</v>
      </c>
      <c r="E25" s="2" t="s">
        <v>38</v>
      </c>
      <c r="F25" s="12">
        <v>27000</v>
      </c>
      <c r="G25" s="12">
        <v>5000</v>
      </c>
      <c r="H25" s="9">
        <v>1</v>
      </c>
      <c r="I25" s="13">
        <f t="shared" si="1"/>
        <v>27000</v>
      </c>
      <c r="J25" s="5">
        <f t="shared" si="2"/>
        <v>0.18518518518518517</v>
      </c>
      <c r="K25" s="2" t="str">
        <f t="shared" si="0"/>
        <v>Jan</v>
      </c>
    </row>
    <row r="26" spans="1:11" x14ac:dyDescent="0.3">
      <c r="A26" s="9">
        <v>1025</v>
      </c>
      <c r="B26" s="3">
        <v>45682</v>
      </c>
      <c r="C26" s="2" t="s">
        <v>8</v>
      </c>
      <c r="D26" s="2" t="s">
        <v>15</v>
      </c>
      <c r="E26" s="2" t="s">
        <v>39</v>
      </c>
      <c r="F26" s="12">
        <v>2800</v>
      </c>
      <c r="G26" s="12">
        <v>600</v>
      </c>
      <c r="H26" s="9">
        <v>6</v>
      </c>
      <c r="I26" s="13">
        <f t="shared" si="1"/>
        <v>466.66666666666669</v>
      </c>
      <c r="J26" s="5">
        <f t="shared" si="2"/>
        <v>0.21428571428571427</v>
      </c>
      <c r="K26" s="2" t="str">
        <f t="shared" si="0"/>
        <v>Jan</v>
      </c>
    </row>
    <row r="27" spans="1:11" x14ac:dyDescent="0.3">
      <c r="A27" s="9">
        <v>1026</v>
      </c>
      <c r="B27" s="3">
        <v>45683</v>
      </c>
      <c r="C27" s="2" t="s">
        <v>11</v>
      </c>
      <c r="D27" s="2" t="s">
        <v>9</v>
      </c>
      <c r="E27" s="2" t="s">
        <v>40</v>
      </c>
      <c r="F27" s="12">
        <v>14000</v>
      </c>
      <c r="G27" s="12">
        <v>2800</v>
      </c>
      <c r="H27" s="9">
        <v>2</v>
      </c>
      <c r="I27" s="13">
        <f t="shared" si="1"/>
        <v>7000</v>
      </c>
      <c r="J27" s="5">
        <f t="shared" si="2"/>
        <v>0.2</v>
      </c>
      <c r="K27" s="2" t="str">
        <f t="shared" si="0"/>
        <v>Jan</v>
      </c>
    </row>
    <row r="28" spans="1:11" x14ac:dyDescent="0.3">
      <c r="A28" s="9">
        <v>1027</v>
      </c>
      <c r="B28" s="3">
        <v>45684</v>
      </c>
      <c r="C28" s="2" t="s">
        <v>14</v>
      </c>
      <c r="D28" s="2" t="s">
        <v>12</v>
      </c>
      <c r="E28" s="2" t="s">
        <v>41</v>
      </c>
      <c r="F28" s="12">
        <v>8000</v>
      </c>
      <c r="G28" s="12">
        <v>1600</v>
      </c>
      <c r="H28" s="9">
        <v>3</v>
      </c>
      <c r="I28" s="13">
        <f t="shared" si="1"/>
        <v>2666.6666666666665</v>
      </c>
      <c r="J28" s="5">
        <f t="shared" si="2"/>
        <v>0.2</v>
      </c>
      <c r="K28" s="2" t="str">
        <f t="shared" si="0"/>
        <v>Jan</v>
      </c>
    </row>
    <row r="29" spans="1:11" x14ac:dyDescent="0.3">
      <c r="A29" s="9">
        <v>1028</v>
      </c>
      <c r="B29" s="3">
        <v>45685</v>
      </c>
      <c r="C29" s="2" t="s">
        <v>17</v>
      </c>
      <c r="D29" s="2" t="s">
        <v>15</v>
      </c>
      <c r="E29" s="2" t="s">
        <v>42</v>
      </c>
      <c r="F29" s="12">
        <v>7000</v>
      </c>
      <c r="G29" s="12">
        <v>1400</v>
      </c>
      <c r="H29" s="9">
        <v>2</v>
      </c>
      <c r="I29" s="13">
        <f t="shared" si="1"/>
        <v>3500</v>
      </c>
      <c r="J29" s="5">
        <f t="shared" si="2"/>
        <v>0.2</v>
      </c>
      <c r="K29" s="2" t="str">
        <f t="shared" si="0"/>
        <v>Jan</v>
      </c>
    </row>
    <row r="30" spans="1:11" x14ac:dyDescent="0.3">
      <c r="A30" s="9">
        <v>1029</v>
      </c>
      <c r="B30" s="3">
        <v>45686</v>
      </c>
      <c r="C30" s="2" t="s">
        <v>8</v>
      </c>
      <c r="D30" s="2" t="s">
        <v>9</v>
      </c>
      <c r="E30" s="2" t="s">
        <v>43</v>
      </c>
      <c r="F30" s="12">
        <v>3000</v>
      </c>
      <c r="G30" s="12">
        <v>600</v>
      </c>
      <c r="H30" s="9">
        <v>5</v>
      </c>
      <c r="I30" s="13">
        <f t="shared" si="1"/>
        <v>600</v>
      </c>
      <c r="J30" s="5">
        <f t="shared" si="2"/>
        <v>0.2</v>
      </c>
      <c r="K30" s="2" t="str">
        <f t="shared" si="0"/>
        <v>Jan</v>
      </c>
    </row>
    <row r="31" spans="1:11" x14ac:dyDescent="0.3">
      <c r="A31" s="9">
        <v>1030</v>
      </c>
      <c r="B31" s="3">
        <v>45687</v>
      </c>
      <c r="C31" s="2" t="s">
        <v>11</v>
      </c>
      <c r="D31" s="2" t="s">
        <v>12</v>
      </c>
      <c r="E31" s="2" t="s">
        <v>44</v>
      </c>
      <c r="F31" s="12">
        <v>26000</v>
      </c>
      <c r="G31" s="12">
        <v>5200</v>
      </c>
      <c r="H31" s="9">
        <v>1</v>
      </c>
      <c r="I31" s="13">
        <f t="shared" si="1"/>
        <v>26000</v>
      </c>
      <c r="J31" s="5">
        <f t="shared" si="2"/>
        <v>0.2</v>
      </c>
      <c r="K31" s="2" t="str">
        <f t="shared" si="0"/>
        <v>Jan</v>
      </c>
    </row>
    <row r="32" spans="1:11" x14ac:dyDescent="0.3">
      <c r="A32" s="9">
        <v>1031</v>
      </c>
      <c r="B32" s="3">
        <v>45688</v>
      </c>
      <c r="C32" s="2" t="s">
        <v>14</v>
      </c>
      <c r="D32" s="2" t="s">
        <v>15</v>
      </c>
      <c r="E32" s="2" t="s">
        <v>45</v>
      </c>
      <c r="F32" s="12">
        <v>1200</v>
      </c>
      <c r="G32" s="12">
        <v>250</v>
      </c>
      <c r="H32" s="9">
        <v>8</v>
      </c>
      <c r="I32" s="13">
        <f t="shared" si="1"/>
        <v>150</v>
      </c>
      <c r="J32" s="5">
        <f t="shared" si="2"/>
        <v>0.20833333333333334</v>
      </c>
      <c r="K32" s="2" t="str">
        <f t="shared" si="0"/>
        <v>Jan</v>
      </c>
    </row>
    <row r="33" spans="1:11" x14ac:dyDescent="0.3">
      <c r="A33" s="9">
        <v>1032</v>
      </c>
      <c r="B33" s="3">
        <v>45689</v>
      </c>
      <c r="C33" s="2" t="s">
        <v>17</v>
      </c>
      <c r="D33" s="2" t="s">
        <v>9</v>
      </c>
      <c r="E33" s="2" t="s">
        <v>46</v>
      </c>
      <c r="F33" s="12">
        <v>5000</v>
      </c>
      <c r="G33" s="12">
        <v>1000</v>
      </c>
      <c r="H33" s="9">
        <v>4</v>
      </c>
      <c r="I33" s="13">
        <f t="shared" si="1"/>
        <v>1250</v>
      </c>
      <c r="J33" s="5">
        <f t="shared" si="2"/>
        <v>0.2</v>
      </c>
      <c r="K33" s="2" t="str">
        <f t="shared" si="0"/>
        <v>Feb</v>
      </c>
    </row>
    <row r="34" spans="1:11" x14ac:dyDescent="0.3">
      <c r="A34" s="9">
        <v>1033</v>
      </c>
      <c r="B34" s="3">
        <v>45690</v>
      </c>
      <c r="C34" s="2" t="s">
        <v>8</v>
      </c>
      <c r="D34" s="2" t="s">
        <v>12</v>
      </c>
      <c r="E34" s="2" t="s">
        <v>47</v>
      </c>
      <c r="F34" s="12">
        <v>3500</v>
      </c>
      <c r="G34" s="12">
        <v>700</v>
      </c>
      <c r="H34" s="9">
        <v>6</v>
      </c>
      <c r="I34" s="13">
        <f t="shared" si="1"/>
        <v>583.33333333333337</v>
      </c>
      <c r="J34" s="5">
        <f t="shared" si="2"/>
        <v>0.2</v>
      </c>
      <c r="K34" s="2" t="str">
        <f t="shared" si="0"/>
        <v>Feb</v>
      </c>
    </row>
    <row r="35" spans="1:11" x14ac:dyDescent="0.3">
      <c r="A35" s="9">
        <v>1034</v>
      </c>
      <c r="B35" s="3">
        <v>45691</v>
      </c>
      <c r="C35" s="2" t="s">
        <v>11</v>
      </c>
      <c r="D35" s="2" t="s">
        <v>15</v>
      </c>
      <c r="E35" s="2" t="s">
        <v>48</v>
      </c>
      <c r="F35" s="12">
        <v>4500</v>
      </c>
      <c r="G35" s="12">
        <v>900</v>
      </c>
      <c r="H35" s="9">
        <v>3</v>
      </c>
      <c r="I35" s="13">
        <f t="shared" si="1"/>
        <v>1500</v>
      </c>
      <c r="J35" s="5">
        <f t="shared" si="2"/>
        <v>0.2</v>
      </c>
      <c r="K35" s="2" t="str">
        <f t="shared" si="0"/>
        <v>Feb</v>
      </c>
    </row>
    <row r="36" spans="1:11" x14ac:dyDescent="0.3">
      <c r="A36" s="9">
        <v>1035</v>
      </c>
      <c r="B36" s="3">
        <v>45692</v>
      </c>
      <c r="C36" s="2" t="s">
        <v>14</v>
      </c>
      <c r="D36" s="2" t="s">
        <v>9</v>
      </c>
      <c r="E36" s="2" t="s">
        <v>49</v>
      </c>
      <c r="F36" s="12">
        <v>6500</v>
      </c>
      <c r="G36" s="12">
        <v>1300</v>
      </c>
      <c r="H36" s="9">
        <v>2</v>
      </c>
      <c r="I36" s="13">
        <f t="shared" si="1"/>
        <v>3250</v>
      </c>
      <c r="J36" s="5">
        <f t="shared" si="2"/>
        <v>0.2</v>
      </c>
      <c r="K36" s="2" t="str">
        <f t="shared" si="0"/>
        <v>Feb</v>
      </c>
    </row>
    <row r="37" spans="1:11" x14ac:dyDescent="0.3">
      <c r="A37" s="9">
        <v>1036</v>
      </c>
      <c r="B37" s="3">
        <v>45693</v>
      </c>
      <c r="C37" s="2" t="s">
        <v>17</v>
      </c>
      <c r="D37" s="2" t="s">
        <v>12</v>
      </c>
      <c r="E37" s="2" t="s">
        <v>50</v>
      </c>
      <c r="F37" s="12">
        <v>15000</v>
      </c>
      <c r="G37" s="12">
        <v>3000</v>
      </c>
      <c r="H37" s="9">
        <v>1</v>
      </c>
      <c r="I37" s="13">
        <f t="shared" si="1"/>
        <v>15000</v>
      </c>
      <c r="J37" s="5">
        <f t="shared" si="2"/>
        <v>0.2</v>
      </c>
      <c r="K37" s="2" t="str">
        <f t="shared" si="0"/>
        <v>Feb</v>
      </c>
    </row>
    <row r="38" spans="1:11" x14ac:dyDescent="0.3">
      <c r="A38" s="9">
        <v>1037</v>
      </c>
      <c r="B38" s="3">
        <v>45694</v>
      </c>
      <c r="C38" s="2" t="s">
        <v>8</v>
      </c>
      <c r="D38" s="2" t="s">
        <v>15</v>
      </c>
      <c r="E38" s="2" t="s">
        <v>51</v>
      </c>
      <c r="F38" s="12">
        <v>900</v>
      </c>
      <c r="G38" s="12">
        <v>180</v>
      </c>
      <c r="H38" s="9">
        <v>12</v>
      </c>
      <c r="I38" s="13">
        <f t="shared" si="1"/>
        <v>75</v>
      </c>
      <c r="J38" s="5">
        <f t="shared" si="2"/>
        <v>0.2</v>
      </c>
      <c r="K38" s="2" t="str">
        <f t="shared" si="0"/>
        <v>Feb</v>
      </c>
    </row>
    <row r="39" spans="1:11" x14ac:dyDescent="0.3">
      <c r="A39" s="9">
        <v>1038</v>
      </c>
      <c r="B39" s="3">
        <v>45695</v>
      </c>
      <c r="C39" s="2" t="s">
        <v>11</v>
      </c>
      <c r="D39" s="2" t="s">
        <v>9</v>
      </c>
      <c r="E39" s="2" t="s">
        <v>52</v>
      </c>
      <c r="F39" s="12">
        <v>1500</v>
      </c>
      <c r="G39" s="12">
        <v>300</v>
      </c>
      <c r="H39" s="9">
        <v>7</v>
      </c>
      <c r="I39" s="13">
        <f t="shared" si="1"/>
        <v>214.28571428571428</v>
      </c>
      <c r="J39" s="5">
        <f t="shared" si="2"/>
        <v>0.2</v>
      </c>
      <c r="K39" s="2" t="str">
        <f t="shared" si="0"/>
        <v>Feb</v>
      </c>
    </row>
    <row r="40" spans="1:11" x14ac:dyDescent="0.3">
      <c r="A40" s="9">
        <v>1039</v>
      </c>
      <c r="B40" s="3">
        <v>45696</v>
      </c>
      <c r="C40" s="2" t="s">
        <v>14</v>
      </c>
      <c r="D40" s="2" t="s">
        <v>12</v>
      </c>
      <c r="E40" s="2" t="s">
        <v>53</v>
      </c>
      <c r="F40" s="12">
        <v>5500</v>
      </c>
      <c r="G40" s="12">
        <v>1100</v>
      </c>
      <c r="H40" s="9">
        <v>2</v>
      </c>
      <c r="I40" s="13">
        <f t="shared" si="1"/>
        <v>2750</v>
      </c>
      <c r="J40" s="5">
        <f t="shared" si="2"/>
        <v>0.2</v>
      </c>
      <c r="K40" s="2" t="str">
        <f t="shared" si="0"/>
        <v>Feb</v>
      </c>
    </row>
    <row r="41" spans="1:11" x14ac:dyDescent="0.3">
      <c r="A41" s="9">
        <v>1040</v>
      </c>
      <c r="B41" s="3">
        <v>45697</v>
      </c>
      <c r="C41" s="2" t="s">
        <v>17</v>
      </c>
      <c r="D41" s="2" t="s">
        <v>15</v>
      </c>
      <c r="E41" s="2" t="s">
        <v>54</v>
      </c>
      <c r="F41" s="12">
        <v>3800</v>
      </c>
      <c r="G41" s="12">
        <v>760</v>
      </c>
      <c r="H41" s="9">
        <v>3</v>
      </c>
      <c r="I41" s="13">
        <f t="shared" si="1"/>
        <v>1266.6666666666667</v>
      </c>
      <c r="J41" s="5">
        <f t="shared" si="2"/>
        <v>0.2</v>
      </c>
      <c r="K41" s="2" t="str">
        <f t="shared" si="0"/>
        <v>Feb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5E84-FBEE-49AC-8ADB-0BED6333F6CD}">
  <dimension ref="A1:S5"/>
  <sheetViews>
    <sheetView workbookViewId="0">
      <selection activeCell="V12" sqref="V12"/>
    </sheetView>
  </sheetViews>
  <sheetFormatPr defaultRowHeight="14.4" x14ac:dyDescent="0.3"/>
  <sheetData>
    <row r="1" spans="1:19" x14ac:dyDescent="0.3">
      <c r="A1" s="25" t="s">
        <v>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ht="15" thickBot="1" x14ac:dyDescent="0.3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3">
      <c r="A3" s="39"/>
      <c r="B3" s="39"/>
      <c r="C3" s="39"/>
      <c r="D3" s="40"/>
      <c r="E3" s="31" t="s">
        <v>57</v>
      </c>
      <c r="F3" s="32"/>
      <c r="G3" s="32" t="s">
        <v>58</v>
      </c>
      <c r="H3" s="32"/>
      <c r="I3" s="32" t="s">
        <v>59</v>
      </c>
      <c r="J3" s="32"/>
      <c r="K3" s="32" t="s">
        <v>60</v>
      </c>
      <c r="L3" s="32"/>
      <c r="M3" s="32" t="s">
        <v>61</v>
      </c>
      <c r="N3" s="37"/>
      <c r="O3" s="43"/>
      <c r="P3" s="39"/>
      <c r="Q3" s="39"/>
      <c r="R3" s="39"/>
      <c r="S3" s="39"/>
    </row>
    <row r="4" spans="1:19" x14ac:dyDescent="0.3">
      <c r="A4" s="41"/>
      <c r="B4" s="41"/>
      <c r="C4" s="41"/>
      <c r="D4" s="42"/>
      <c r="E4" s="33"/>
      <c r="F4" s="34"/>
      <c r="G4" s="34"/>
      <c r="H4" s="34"/>
      <c r="I4" s="34"/>
      <c r="J4" s="34"/>
      <c r="K4" s="34"/>
      <c r="L4" s="34"/>
      <c r="M4" s="34"/>
      <c r="N4" s="38"/>
      <c r="O4" s="44"/>
      <c r="P4" s="41"/>
      <c r="Q4" s="41"/>
      <c r="R4" s="41"/>
      <c r="S4" s="41"/>
    </row>
    <row r="5" spans="1:19" ht="18.600000000000001" thickBot="1" x14ac:dyDescent="0.4">
      <c r="A5" s="41"/>
      <c r="B5" s="41"/>
      <c r="C5" s="41"/>
      <c r="D5" s="42"/>
      <c r="E5" s="45">
        <f>SUM('Sales data '!F:F)</f>
        <v>504100</v>
      </c>
      <c r="F5" s="46"/>
      <c r="G5" s="46">
        <f>SUM('Sales data '!G:G)</f>
        <v>97440</v>
      </c>
      <c r="H5" s="46"/>
      <c r="I5" s="35">
        <f>SUM('Sales data '!H:H)</f>
        <v>139</v>
      </c>
      <c r="J5" s="35"/>
      <c r="K5" s="46">
        <f>AVERAGE('Sales data '!F:F)</f>
        <v>12602.5</v>
      </c>
      <c r="L5" s="46"/>
      <c r="M5" s="35">
        <f>COUNTA('Sales data '!A2:A41)</f>
        <v>40</v>
      </c>
      <c r="N5" s="36"/>
      <c r="O5" s="44"/>
      <c r="P5" s="41"/>
      <c r="Q5" s="41"/>
      <c r="R5" s="41"/>
      <c r="S5" s="41"/>
    </row>
  </sheetData>
  <mergeCells count="13">
    <mergeCell ref="A1:S2"/>
    <mergeCell ref="E3:F4"/>
    <mergeCell ref="G3:H4"/>
    <mergeCell ref="I3:J4"/>
    <mergeCell ref="M5:N5"/>
    <mergeCell ref="K3:L4"/>
    <mergeCell ref="M3:N4"/>
    <mergeCell ref="A3:D5"/>
    <mergeCell ref="O3:S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F434-54FF-40CA-BAEF-F16FE6FDC6B7}">
  <dimension ref="D1:M8"/>
  <sheetViews>
    <sheetView tabSelected="1" workbookViewId="0">
      <selection activeCell="M7" sqref="M7"/>
    </sheetView>
  </sheetViews>
  <sheetFormatPr defaultRowHeight="14.4" x14ac:dyDescent="0.3"/>
  <cols>
    <col min="11" max="11" width="8.88671875" customWidth="1"/>
  </cols>
  <sheetData>
    <row r="1" spans="4:13" x14ac:dyDescent="0.3">
      <c r="D1" s="47" t="s">
        <v>70</v>
      </c>
      <c r="E1" s="48"/>
      <c r="F1" s="48"/>
      <c r="G1" s="48"/>
      <c r="H1" s="48"/>
      <c r="I1" s="48"/>
      <c r="J1" s="48"/>
      <c r="K1" s="48"/>
      <c r="L1" s="48"/>
      <c r="M1" s="48"/>
    </row>
    <row r="2" spans="4:13" x14ac:dyDescent="0.3">
      <c r="D2" s="48"/>
      <c r="E2" s="48"/>
      <c r="F2" s="48"/>
      <c r="G2" s="48"/>
      <c r="H2" s="48"/>
      <c r="I2" s="48"/>
      <c r="J2" s="48"/>
      <c r="K2" s="48"/>
      <c r="L2" s="48"/>
      <c r="M2" s="48"/>
    </row>
    <row r="4" spans="4:13" x14ac:dyDescent="0.3">
      <c r="D4" s="49">
        <v>1</v>
      </c>
      <c r="E4" s="50" t="s">
        <v>71</v>
      </c>
      <c r="F4" s="50"/>
      <c r="G4" s="50"/>
      <c r="H4" s="50"/>
      <c r="I4" s="50"/>
      <c r="J4" s="50"/>
      <c r="K4" s="50"/>
      <c r="L4" s="51"/>
    </row>
    <row r="5" spans="4:13" x14ac:dyDescent="0.3">
      <c r="D5" s="49">
        <v>2</v>
      </c>
      <c r="E5" s="50" t="s">
        <v>72</v>
      </c>
      <c r="F5" s="50"/>
      <c r="G5" s="50"/>
      <c r="H5" s="50"/>
      <c r="I5" s="50"/>
      <c r="J5" s="50"/>
      <c r="K5" s="50"/>
      <c r="L5" s="49"/>
    </row>
    <row r="6" spans="4:13" x14ac:dyDescent="0.3">
      <c r="D6" s="49">
        <v>3</v>
      </c>
      <c r="E6" s="50" t="s">
        <v>73</v>
      </c>
      <c r="F6" s="50"/>
      <c r="G6" s="50"/>
      <c r="H6" s="50"/>
      <c r="I6" s="50"/>
      <c r="J6" s="50"/>
      <c r="K6" s="50"/>
      <c r="L6" s="49"/>
    </row>
    <row r="7" spans="4:13" x14ac:dyDescent="0.3">
      <c r="D7" s="49">
        <v>4</v>
      </c>
      <c r="E7" s="50" t="s">
        <v>74</v>
      </c>
      <c r="F7" s="50"/>
      <c r="G7" s="50"/>
      <c r="H7" s="50"/>
      <c r="I7" s="50"/>
      <c r="J7" s="50"/>
      <c r="K7" s="50"/>
      <c r="L7" s="49"/>
    </row>
    <row r="8" spans="4:13" x14ac:dyDescent="0.3">
      <c r="D8" s="49">
        <v>5</v>
      </c>
      <c r="E8" s="50" t="s">
        <v>75</v>
      </c>
      <c r="F8" s="50"/>
      <c r="G8" s="50"/>
      <c r="H8" s="50"/>
      <c r="I8" s="50"/>
      <c r="J8" s="50"/>
      <c r="K8" s="50"/>
      <c r="L8" s="50"/>
    </row>
  </sheetData>
  <mergeCells count="1">
    <mergeCell ref="D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p1</vt:lpstr>
      <vt:lpstr>p2</vt:lpstr>
      <vt:lpstr>Sheet6</vt:lpstr>
      <vt:lpstr>p3</vt:lpstr>
      <vt:lpstr>Sales data </vt:lpstr>
      <vt:lpstr>Dashboard </vt:lpstr>
      <vt:lpstr>Business 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sarthakdattataryakulkarni@outlook.com</dc:creator>
  <cp:lastModifiedBy>sarthakdattataryakulkarni@outlook.com</cp:lastModifiedBy>
  <dcterms:created xsi:type="dcterms:W3CDTF">2026-05-26T19:01:15Z</dcterms:created>
  <dcterms:modified xsi:type="dcterms:W3CDTF">2026-06-09T11:42:02Z</dcterms:modified>
</cp:coreProperties>
</file>